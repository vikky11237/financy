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ikky\Downloads\"/>
    </mc:Choice>
  </mc:AlternateContent>
  <bookViews>
    <workbookView xWindow="0" yWindow="0" windowWidth="28800" windowHeight="12180"/>
  </bookViews>
  <sheets>
    <sheet name="Loan Tracker" sheetId="1" r:id="rId1"/>
  </sheets>
  <calcPr calcId="162913"/>
</workbook>
</file>

<file path=xl/calcChain.xml><?xml version="1.0" encoding="utf-8"?>
<calcChain xmlns="http://schemas.openxmlformats.org/spreadsheetml/2006/main">
  <c r="E22" i="1" l="1"/>
  <c r="D21" i="1"/>
  <c r="D22" i="1"/>
  <c r="N4" i="1" l="1"/>
  <c r="N5" i="1" s="1"/>
  <c r="N6" i="1" s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3" i="1"/>
  <c r="N2" i="1"/>
  <c r="D24" i="1"/>
  <c r="E20" i="1" l="1"/>
  <c r="E18" i="1" l="1"/>
  <c r="D18" i="1"/>
  <c r="E21" i="1" l="1"/>
  <c r="D20" i="1"/>
  <c r="E19" i="1"/>
  <c r="D19" i="1"/>
  <c r="T2" i="1" l="1"/>
  <c r="T3" i="1" s="1"/>
  <c r="T4" i="1" s="1"/>
  <c r="T5" i="1" s="1"/>
  <c r="T6" i="1" s="1"/>
  <c r="S2" i="1"/>
  <c r="S3" i="1" s="1"/>
  <c r="S4" i="1" s="1"/>
  <c r="S5" i="1" s="1"/>
  <c r="S6" i="1" s="1"/>
  <c r="S7" i="1" s="1"/>
  <c r="S8" i="1" s="1"/>
  <c r="S9" i="1" s="1"/>
  <c r="S10" i="1" s="1"/>
  <c r="S11" i="1" s="1"/>
  <c r="S12" i="1" s="1"/>
  <c r="S13" i="1" s="1"/>
  <c r="S14" i="1" s="1"/>
  <c r="S15" i="1" s="1"/>
  <c r="S16" i="1" s="1"/>
  <c r="S17" i="1" s="1"/>
  <c r="R3" i="1"/>
  <c r="R4" i="1"/>
  <c r="R7" i="1"/>
  <c r="R15" i="1"/>
  <c r="R5" i="1"/>
  <c r="R12" i="1"/>
  <c r="R8" i="1"/>
  <c r="R6" i="1"/>
  <c r="R9" i="1"/>
  <c r="R11" i="1"/>
  <c r="R10" i="1"/>
  <c r="R13" i="1"/>
  <c r="R16" i="1"/>
  <c r="R14" i="1"/>
  <c r="R17" i="1"/>
  <c r="R2" i="1"/>
  <c r="T7" i="1" l="1"/>
  <c r="T8" i="1" s="1"/>
  <c r="T9" i="1" s="1"/>
  <c r="T10" i="1" s="1"/>
  <c r="T11" i="1" s="1"/>
  <c r="T12" i="1" s="1"/>
  <c r="T13" i="1" s="1"/>
  <c r="T14" i="1" s="1"/>
  <c r="T15" i="1" s="1"/>
  <c r="T16" i="1" s="1"/>
  <c r="T17" i="1" s="1"/>
</calcChain>
</file>

<file path=xl/sharedStrings.xml><?xml version="1.0" encoding="utf-8"?>
<sst xmlns="http://schemas.openxmlformats.org/spreadsheetml/2006/main" count="123" uniqueCount="52">
  <si>
    <t>Loan ID</t>
  </si>
  <si>
    <t>Bank / App</t>
  </si>
  <si>
    <t>Original Loan Amount</t>
  </si>
  <si>
    <t>Remaining Balance</t>
  </si>
  <si>
    <t>EMI</t>
  </si>
  <si>
    <t>Interest Rate (%)</t>
  </si>
  <si>
    <t>Tenure (Months)</t>
  </si>
  <si>
    <t>Loan Type</t>
  </si>
  <si>
    <t>Priority</t>
  </si>
  <si>
    <t>Status</t>
  </si>
  <si>
    <t>Closure Amount Paid</t>
  </si>
  <si>
    <t>Closure Date</t>
  </si>
  <si>
    <t>EMI Freed</t>
  </si>
  <si>
    <t>CIBIL Updated</t>
  </si>
  <si>
    <t>No Dues Certificate</t>
  </si>
  <si>
    <t>Remarks</t>
  </si>
  <si>
    <t>CHEQ</t>
  </si>
  <si>
    <t>App</t>
  </si>
  <si>
    <t>Active</t>
  </si>
  <si>
    <t>No</t>
  </si>
  <si>
    <t>Axis</t>
  </si>
  <si>
    <t>Bank</t>
  </si>
  <si>
    <t>RBL</t>
  </si>
  <si>
    <t>MoneyView</t>
  </si>
  <si>
    <t>SBI</t>
  </si>
  <si>
    <t>INCRED</t>
  </si>
  <si>
    <t>NBFC</t>
  </si>
  <si>
    <t>FIBE</t>
  </si>
  <si>
    <t>Federal</t>
  </si>
  <si>
    <t>HDFC</t>
  </si>
  <si>
    <t>ICICI</t>
  </si>
  <si>
    <t>Ratio</t>
  </si>
  <si>
    <t>Total Freed</t>
  </si>
  <si>
    <t>To Pay</t>
  </si>
  <si>
    <t xml:space="preserve">To be paid next month </t>
  </si>
  <si>
    <t>Closed</t>
  </si>
  <si>
    <t>Total</t>
  </si>
  <si>
    <t>Remaining</t>
  </si>
  <si>
    <t>Next</t>
  </si>
  <si>
    <t>Column1</t>
  </si>
  <si>
    <t>Target Month</t>
  </si>
  <si>
    <t>Jan</t>
  </si>
  <si>
    <t>jan</t>
  </si>
  <si>
    <t>feb</t>
  </si>
  <si>
    <t>march</t>
  </si>
  <si>
    <t>april</t>
  </si>
  <si>
    <t>may</t>
  </si>
  <si>
    <t>july</t>
  </si>
  <si>
    <t>june</t>
  </si>
  <si>
    <t>Aug</t>
  </si>
  <si>
    <t>-------</t>
  </si>
  <si>
    <t>then re0a5n5ng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</si>
</sst>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0" fillId="3" borderId="1" xfId="0" applyFill="1" applyBorder="1"/>
    <xf numFmtId="14" fontId="0" fillId="3" borderId="1" xfId="0" applyNumberFormat="1" applyFill="1" applyBorder="1"/>
    <xf numFmtId="0" fontId="0" fillId="2" borderId="1" xfId="0" applyFill="1" applyBorder="1"/>
    <xf numFmtId="0" fontId="0" fillId="0" borderId="1" xfId="0" applyBorder="1"/>
    <xf numFmtId="0" fontId="0" fillId="4" borderId="1" xfId="0" applyFill="1" applyBorder="1"/>
    <xf numFmtId="0" fontId="0" fillId="4" borderId="0" xfId="0" applyFill="1"/>
    <xf numFmtId="0" fontId="0" fillId="4" borderId="1" xfId="0" quotePrefix="1" applyFill="1" applyBorder="1"/>
    <xf numFmtId="0" fontId="0" fillId="5" borderId="0" xfId="0" applyFill="1"/>
  </cellXfs>
  <cellStyles count="1">
    <cellStyle name="Normal" xfId="0" builtinId="0"/>
  </cellStyles>
  <dxfs count="1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U17" totalsRowShown="0">
  <autoFilter ref="A1:U17"/>
  <tableColumns count="21">
    <tableColumn id="1" name="Loan ID"/>
    <tableColumn id="2" name="Bank / App"/>
    <tableColumn id="3" name="Original Loan Amount"/>
    <tableColumn id="4" name="Remaining Balance"/>
    <tableColumn id="5" name="EMI"/>
    <tableColumn id="6" name="Interest Rate (%)"/>
    <tableColumn id="7" name="Tenure (Months)"/>
    <tableColumn id="8" name="Loan Type"/>
    <tableColumn id="9" name="Priority"/>
    <tableColumn id="10" name="Status"/>
    <tableColumn id="11" name="Closure Amount Paid"/>
    <tableColumn id="21" name="Target Month" dataDxfId="0"/>
    <tableColumn id="12" name="Closure Date"/>
    <tableColumn id="13" name="EMI Freed"/>
    <tableColumn id="14" name="CIBIL Updated"/>
    <tableColumn id="15" name="No Dues Certificate"/>
    <tableColumn id="16" name="Remarks"/>
    <tableColumn id="17" name="Ratio">
      <calculatedColumnFormula>(E2/D2)*1000</calculatedColumnFormula>
    </tableColumn>
    <tableColumn id="18" name="Total Freed">
      <calculatedColumnFormula>N2+S1</calculatedColumnFormula>
    </tableColumn>
    <tableColumn id="19" name="To Pay">
      <calculatedColumnFormula>D2+T1</calculatedColumnFormula>
    </tableColumn>
    <tableColumn id="20" name="Column1"/>
  </tableColumns>
  <tableStyleInfo name="TableStyleDark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4"/>
  <sheetViews>
    <sheetView tabSelected="1" workbookViewId="0">
      <selection activeCell="D33" sqref="D33"/>
    </sheetView>
  </sheetViews>
  <sheetFormatPr defaultRowHeight="15" x14ac:dyDescent="0.25"/>
  <cols>
    <col min="1" max="1" width="9.5703125" customWidth="1"/>
    <col min="2" max="2" width="12.7109375" customWidth="1"/>
    <col min="3" max="3" width="22.28515625" customWidth="1"/>
    <col min="4" max="4" width="19.85546875" customWidth="1"/>
    <col min="5" max="5" width="8.42578125" bestFit="1" customWidth="1"/>
    <col min="6" max="7" width="18" customWidth="1"/>
    <col min="8" max="8" width="12" customWidth="1"/>
    <col min="9" max="9" width="9.7109375" customWidth="1"/>
    <col min="10" max="10" width="11.140625" customWidth="1"/>
    <col min="11" max="11" width="21.7109375" customWidth="1"/>
    <col min="12" max="12" width="21.7109375" style="1" customWidth="1"/>
    <col min="13" max="13" width="14.42578125" customWidth="1"/>
    <col min="14" max="14" width="12" customWidth="1"/>
    <col min="15" max="15" width="15.42578125" customWidth="1"/>
    <col min="16" max="16" width="20.28515625" customWidth="1"/>
    <col min="17" max="17" width="10.7109375" customWidth="1"/>
    <col min="19" max="19" width="15.85546875" customWidth="1"/>
    <col min="20" max="20" width="15.7109375" customWidth="1"/>
    <col min="21" max="21" width="1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40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31</v>
      </c>
      <c r="S1" t="s">
        <v>32</v>
      </c>
      <c r="T1" t="s">
        <v>33</v>
      </c>
      <c r="U1" t="s">
        <v>39</v>
      </c>
    </row>
    <row r="2" spans="1:21" x14ac:dyDescent="0.25">
      <c r="A2" s="2">
        <v>1</v>
      </c>
      <c r="B2" s="2" t="s">
        <v>16</v>
      </c>
      <c r="C2" s="2">
        <v>101000</v>
      </c>
      <c r="D2" s="2">
        <v>33000</v>
      </c>
      <c r="E2" s="2">
        <v>5189</v>
      </c>
      <c r="F2" s="2"/>
      <c r="G2" s="2"/>
      <c r="H2" s="2" t="s">
        <v>17</v>
      </c>
      <c r="I2" s="2">
        <v>1</v>
      </c>
      <c r="J2" s="2" t="s">
        <v>35</v>
      </c>
      <c r="K2" s="2">
        <v>33000</v>
      </c>
      <c r="L2" s="2" t="s">
        <v>41</v>
      </c>
      <c r="M2" s="3">
        <v>46143</v>
      </c>
      <c r="N2" s="2">
        <f>Table1[[#This Row],[EMI]]</f>
        <v>5189</v>
      </c>
      <c r="O2" s="2" t="s">
        <v>19</v>
      </c>
      <c r="P2" s="2" t="s">
        <v>19</v>
      </c>
      <c r="Q2" s="2"/>
      <c r="R2" s="2">
        <f t="shared" ref="R2:R17" si="0">(E2/D2)*1000</f>
        <v>157.24242424242425</v>
      </c>
      <c r="S2" s="2">
        <f>SUM(N2)</f>
        <v>5189</v>
      </c>
      <c r="T2" s="2">
        <f>D2</f>
        <v>33000</v>
      </c>
    </row>
    <row r="3" spans="1:21" x14ac:dyDescent="0.25">
      <c r="A3" s="2">
        <v>2</v>
      </c>
      <c r="B3" s="2" t="s">
        <v>16</v>
      </c>
      <c r="C3" s="2">
        <v>101000</v>
      </c>
      <c r="D3" s="2">
        <v>33000</v>
      </c>
      <c r="E3" s="2">
        <v>5189</v>
      </c>
      <c r="F3" s="2"/>
      <c r="G3" s="2"/>
      <c r="H3" s="2" t="s">
        <v>17</v>
      </c>
      <c r="I3" s="2">
        <v>1</v>
      </c>
      <c r="J3" s="2" t="s">
        <v>35</v>
      </c>
      <c r="K3" s="2">
        <v>33000</v>
      </c>
      <c r="L3" s="2" t="s">
        <v>42</v>
      </c>
      <c r="M3" s="3">
        <v>46143</v>
      </c>
      <c r="N3" s="2">
        <f>Table1[[#This Row],[EMI]]+N2</f>
        <v>10378</v>
      </c>
      <c r="O3" s="2" t="s">
        <v>19</v>
      </c>
      <c r="P3" s="2" t="s">
        <v>19</v>
      </c>
      <c r="Q3" s="2"/>
      <c r="R3" s="2">
        <f t="shared" si="0"/>
        <v>157.24242424242425</v>
      </c>
      <c r="S3" s="2">
        <f>N3+S2</f>
        <v>15567</v>
      </c>
      <c r="T3" s="2">
        <f>D3+T2</f>
        <v>66000</v>
      </c>
    </row>
    <row r="4" spans="1:21" x14ac:dyDescent="0.25">
      <c r="A4" s="2">
        <v>3</v>
      </c>
      <c r="B4" s="2" t="s">
        <v>20</v>
      </c>
      <c r="C4" s="2">
        <v>41500</v>
      </c>
      <c r="D4" s="2">
        <v>31809</v>
      </c>
      <c r="E4" s="2">
        <v>3804</v>
      </c>
      <c r="F4" s="2"/>
      <c r="G4" s="2"/>
      <c r="H4" s="2" t="s">
        <v>21</v>
      </c>
      <c r="I4" s="2">
        <v>1</v>
      </c>
      <c r="J4" s="2" t="s">
        <v>35</v>
      </c>
      <c r="K4" s="2">
        <v>31809</v>
      </c>
      <c r="L4" s="2" t="s">
        <v>42</v>
      </c>
      <c r="M4" s="3">
        <v>46143</v>
      </c>
      <c r="N4" s="2">
        <f>Table1[[#This Row],[EMI]]+N3</f>
        <v>14182</v>
      </c>
      <c r="O4" s="2" t="s">
        <v>19</v>
      </c>
      <c r="P4" s="2" t="s">
        <v>19</v>
      </c>
      <c r="Q4" s="2"/>
      <c r="R4" s="2">
        <f t="shared" si="0"/>
        <v>119.58879562388003</v>
      </c>
      <c r="S4" s="2">
        <f t="shared" ref="S4:S17" si="1">N4+S3</f>
        <v>29749</v>
      </c>
      <c r="T4" s="2">
        <f t="shared" ref="T4:T17" si="2">D4+T3</f>
        <v>97809</v>
      </c>
    </row>
    <row r="5" spans="1:21" x14ac:dyDescent="0.25">
      <c r="A5" s="4">
        <v>6</v>
      </c>
      <c r="B5" s="4" t="s">
        <v>22</v>
      </c>
      <c r="C5" s="4">
        <v>77474</v>
      </c>
      <c r="D5" s="4">
        <v>37912</v>
      </c>
      <c r="E5" s="4">
        <v>4331</v>
      </c>
      <c r="F5" s="4">
        <v>30</v>
      </c>
      <c r="G5" s="4">
        <v>24</v>
      </c>
      <c r="H5" s="4" t="s">
        <v>21</v>
      </c>
      <c r="I5" s="4">
        <v>2</v>
      </c>
      <c r="J5" s="4" t="s">
        <v>18</v>
      </c>
      <c r="K5" s="4"/>
      <c r="L5" s="4" t="s">
        <v>42</v>
      </c>
      <c r="M5" s="4"/>
      <c r="N5" s="2">
        <f>Table1[[#This Row],[EMI]]+N4</f>
        <v>18513</v>
      </c>
      <c r="O5" s="4" t="s">
        <v>19</v>
      </c>
      <c r="P5" s="4" t="s">
        <v>19</v>
      </c>
      <c r="Q5" s="4"/>
      <c r="R5" s="4">
        <f t="shared" si="0"/>
        <v>114.23823591474995</v>
      </c>
      <c r="S5" s="4">
        <f t="shared" si="1"/>
        <v>48262</v>
      </c>
      <c r="T5" s="4">
        <f t="shared" si="2"/>
        <v>135721</v>
      </c>
    </row>
    <row r="6" spans="1:21" x14ac:dyDescent="0.25">
      <c r="A6" s="4">
        <v>9</v>
      </c>
      <c r="B6" s="4" t="s">
        <v>24</v>
      </c>
      <c r="C6" s="4"/>
      <c r="D6" s="4">
        <v>23664</v>
      </c>
      <c r="E6" s="4">
        <v>2305</v>
      </c>
      <c r="F6" s="4">
        <v>17</v>
      </c>
      <c r="G6" s="4">
        <v>36</v>
      </c>
      <c r="H6" s="4" t="s">
        <v>21</v>
      </c>
      <c r="I6" s="4">
        <v>2</v>
      </c>
      <c r="J6" s="4" t="s">
        <v>18</v>
      </c>
      <c r="K6" s="4"/>
      <c r="L6" s="4" t="s">
        <v>42</v>
      </c>
      <c r="M6" s="4"/>
      <c r="N6" s="2">
        <f>Table1[[#This Row],[EMI]]+N5</f>
        <v>20818</v>
      </c>
      <c r="O6" s="4" t="s">
        <v>19</v>
      </c>
      <c r="P6" s="4" t="s">
        <v>19</v>
      </c>
      <c r="Q6" s="4"/>
      <c r="R6" s="4">
        <f t="shared" si="0"/>
        <v>97.4053414469236</v>
      </c>
      <c r="S6" s="4">
        <f t="shared" si="1"/>
        <v>69080</v>
      </c>
      <c r="T6" s="4">
        <f t="shared" si="2"/>
        <v>159385</v>
      </c>
    </row>
    <row r="7" spans="1:21" x14ac:dyDescent="0.25">
      <c r="A7" s="4">
        <v>4</v>
      </c>
      <c r="B7" s="4" t="s">
        <v>20</v>
      </c>
      <c r="C7" s="4">
        <v>30735</v>
      </c>
      <c r="D7" s="4">
        <v>16961</v>
      </c>
      <c r="E7" s="4">
        <v>1579</v>
      </c>
      <c r="F7" s="4">
        <v>17</v>
      </c>
      <c r="G7" s="4">
        <v>24</v>
      </c>
      <c r="H7" s="4" t="s">
        <v>21</v>
      </c>
      <c r="I7" s="4">
        <v>2</v>
      </c>
      <c r="J7" s="4" t="s">
        <v>18</v>
      </c>
      <c r="K7" s="4"/>
      <c r="L7" s="4" t="s">
        <v>42</v>
      </c>
      <c r="M7" s="4"/>
      <c r="N7" s="2">
        <f>Table1[[#This Row],[EMI]]+N6</f>
        <v>22397</v>
      </c>
      <c r="O7" s="4" t="s">
        <v>19</v>
      </c>
      <c r="P7" s="4" t="s">
        <v>19</v>
      </c>
      <c r="Q7" s="4"/>
      <c r="R7" s="4">
        <f t="shared" si="0"/>
        <v>93.095925947762524</v>
      </c>
      <c r="S7" s="4">
        <f t="shared" si="1"/>
        <v>91477</v>
      </c>
      <c r="T7" s="4">
        <f>D7+T6</f>
        <v>176346</v>
      </c>
      <c r="U7" t="s">
        <v>34</v>
      </c>
    </row>
    <row r="8" spans="1:21" x14ac:dyDescent="0.25">
      <c r="A8" s="5">
        <v>8</v>
      </c>
      <c r="B8" s="5" t="s">
        <v>23</v>
      </c>
      <c r="C8" s="5">
        <v>150000</v>
      </c>
      <c r="D8" s="5">
        <v>92742</v>
      </c>
      <c r="E8" s="5">
        <v>7782</v>
      </c>
      <c r="F8" s="5"/>
      <c r="G8" s="5"/>
      <c r="H8" s="5" t="s">
        <v>17</v>
      </c>
      <c r="I8" s="5">
        <v>3</v>
      </c>
      <c r="J8" s="5" t="s">
        <v>18</v>
      </c>
      <c r="K8" s="5"/>
      <c r="L8" s="5" t="s">
        <v>43</v>
      </c>
      <c r="M8" s="5"/>
      <c r="N8" s="2">
        <f>Table1[[#This Row],[EMI]]+N7</f>
        <v>30179</v>
      </c>
      <c r="O8" s="5" t="s">
        <v>19</v>
      </c>
      <c r="P8" s="5" t="s">
        <v>19</v>
      </c>
      <c r="Q8" s="5"/>
      <c r="R8" s="5">
        <f t="shared" si="0"/>
        <v>83.910202497250438</v>
      </c>
      <c r="S8" s="5">
        <f t="shared" si="1"/>
        <v>121656</v>
      </c>
      <c r="T8" s="5">
        <f t="shared" si="2"/>
        <v>269088</v>
      </c>
    </row>
    <row r="9" spans="1:21" x14ac:dyDescent="0.25">
      <c r="A9" s="5">
        <v>10</v>
      </c>
      <c r="B9" s="5" t="s">
        <v>24</v>
      </c>
      <c r="C9" s="5"/>
      <c r="D9" s="5">
        <v>72647</v>
      </c>
      <c r="E9" s="5">
        <v>5327</v>
      </c>
      <c r="F9" s="5">
        <v>17</v>
      </c>
      <c r="G9" s="5">
        <v>36</v>
      </c>
      <c r="H9" s="5" t="s">
        <v>21</v>
      </c>
      <c r="I9" s="5">
        <v>3</v>
      </c>
      <c r="J9" s="5" t="s">
        <v>18</v>
      </c>
      <c r="K9" s="5"/>
      <c r="L9" s="5" t="s">
        <v>43</v>
      </c>
      <c r="M9" s="5"/>
      <c r="N9" s="2">
        <f>Table1[[#This Row],[EMI]]+N8</f>
        <v>35506</v>
      </c>
      <c r="O9" s="5" t="s">
        <v>19</v>
      </c>
      <c r="P9" s="5" t="s">
        <v>19</v>
      </c>
      <c r="Q9" s="5"/>
      <c r="R9" s="5">
        <f t="shared" si="0"/>
        <v>73.327184880311648</v>
      </c>
      <c r="S9" s="5">
        <f t="shared" si="1"/>
        <v>157162</v>
      </c>
      <c r="T9" s="5">
        <f t="shared" si="2"/>
        <v>341735</v>
      </c>
    </row>
    <row r="10" spans="1:21" s="7" customFormat="1" x14ac:dyDescent="0.25">
      <c r="A10" s="6">
        <v>12</v>
      </c>
      <c r="B10" s="6" t="s">
        <v>27</v>
      </c>
      <c r="C10" s="6">
        <v>200000</v>
      </c>
      <c r="D10" s="6">
        <v>190000</v>
      </c>
      <c r="E10" s="6">
        <v>13506</v>
      </c>
      <c r="F10" s="6">
        <v>30</v>
      </c>
      <c r="G10" s="6">
        <v>18</v>
      </c>
      <c r="H10" s="6" t="s">
        <v>26</v>
      </c>
      <c r="I10" s="6">
        <v>4</v>
      </c>
      <c r="J10" s="6" t="s">
        <v>18</v>
      </c>
      <c r="K10" s="6"/>
      <c r="L10" s="6" t="s">
        <v>44</v>
      </c>
      <c r="M10" s="6"/>
      <c r="N10" s="2">
        <f>Table1[[#This Row],[EMI]]+N9</f>
        <v>49012</v>
      </c>
      <c r="O10" s="6" t="s">
        <v>19</v>
      </c>
      <c r="P10" s="6" t="s">
        <v>19</v>
      </c>
      <c r="Q10" s="6"/>
      <c r="R10" s="6">
        <f t="shared" si="0"/>
        <v>71.084210526315786</v>
      </c>
      <c r="S10" s="6">
        <f t="shared" si="1"/>
        <v>206174</v>
      </c>
      <c r="T10" s="6">
        <f t="shared" si="2"/>
        <v>531735</v>
      </c>
    </row>
    <row r="11" spans="1:21" s="7" customFormat="1" x14ac:dyDescent="0.25">
      <c r="A11" s="6">
        <v>11</v>
      </c>
      <c r="B11" s="6" t="s">
        <v>25</v>
      </c>
      <c r="C11" s="6">
        <v>413000</v>
      </c>
      <c r="D11" s="6">
        <v>285607</v>
      </c>
      <c r="E11" s="6">
        <v>12608</v>
      </c>
      <c r="F11" s="6">
        <v>20</v>
      </c>
      <c r="G11" s="6">
        <v>48</v>
      </c>
      <c r="H11" s="6" t="s">
        <v>26</v>
      </c>
      <c r="I11" s="6">
        <v>5</v>
      </c>
      <c r="J11" s="6" t="s">
        <v>18</v>
      </c>
      <c r="K11" s="6"/>
      <c r="L11" s="6" t="s">
        <v>45</v>
      </c>
      <c r="M11" s="6"/>
      <c r="N11" s="2">
        <f>Table1[[#This Row],[EMI]]+N10</f>
        <v>61620</v>
      </c>
      <c r="O11" s="6" t="s">
        <v>19</v>
      </c>
      <c r="P11" s="6" t="s">
        <v>19</v>
      </c>
      <c r="Q11" s="6"/>
      <c r="R11" s="6">
        <f t="shared" si="0"/>
        <v>44.144576288396294</v>
      </c>
      <c r="S11" s="6">
        <f t="shared" si="1"/>
        <v>267794</v>
      </c>
      <c r="T11" s="6">
        <f t="shared" si="2"/>
        <v>817342</v>
      </c>
    </row>
    <row r="12" spans="1:21" x14ac:dyDescent="0.25">
      <c r="A12" s="5">
        <v>7</v>
      </c>
      <c r="B12" s="5" t="s">
        <v>22</v>
      </c>
      <c r="C12" s="5">
        <v>50000</v>
      </c>
      <c r="D12" s="5">
        <v>30130</v>
      </c>
      <c r="E12" s="5">
        <v>1548</v>
      </c>
      <c r="F12" s="5">
        <v>21</v>
      </c>
      <c r="G12" s="5">
        <v>48</v>
      </c>
      <c r="H12" s="5" t="s">
        <v>21</v>
      </c>
      <c r="I12" s="5">
        <v>6</v>
      </c>
      <c r="J12" s="5" t="s">
        <v>18</v>
      </c>
      <c r="K12" s="5"/>
      <c r="L12" s="5" t="s">
        <v>46</v>
      </c>
      <c r="M12" s="5"/>
      <c r="N12" s="2">
        <f>Table1[[#This Row],[EMI]]+N11</f>
        <v>63168</v>
      </c>
      <c r="O12" s="5" t="s">
        <v>19</v>
      </c>
      <c r="P12" s="5" t="s">
        <v>19</v>
      </c>
      <c r="Q12" s="5"/>
      <c r="R12" s="5">
        <f t="shared" si="0"/>
        <v>51.377364752738139</v>
      </c>
      <c r="S12" s="5">
        <f t="shared" si="1"/>
        <v>330962</v>
      </c>
      <c r="T12" s="5">
        <f t="shared" si="2"/>
        <v>847472</v>
      </c>
    </row>
    <row r="13" spans="1:21" s="7" customFormat="1" x14ac:dyDescent="0.25">
      <c r="A13" s="6">
        <v>13</v>
      </c>
      <c r="B13" s="6" t="s">
        <v>20</v>
      </c>
      <c r="C13" s="6">
        <v>204000</v>
      </c>
      <c r="D13" s="6">
        <v>152553</v>
      </c>
      <c r="E13" s="6">
        <v>6651</v>
      </c>
      <c r="F13" s="6">
        <v>17</v>
      </c>
      <c r="G13" s="6">
        <v>48</v>
      </c>
      <c r="H13" s="6" t="s">
        <v>21</v>
      </c>
      <c r="I13" s="6">
        <v>7</v>
      </c>
      <c r="J13" s="6" t="s">
        <v>18</v>
      </c>
      <c r="K13" s="6"/>
      <c r="L13" s="6" t="s">
        <v>46</v>
      </c>
      <c r="M13" s="6"/>
      <c r="N13" s="2">
        <f>Table1[[#This Row],[EMI]]+N12</f>
        <v>69819</v>
      </c>
      <c r="O13" s="6" t="s">
        <v>19</v>
      </c>
      <c r="P13" s="6" t="s">
        <v>19</v>
      </c>
      <c r="Q13" s="6"/>
      <c r="R13" s="6">
        <f t="shared" si="0"/>
        <v>43.597962675266956</v>
      </c>
      <c r="S13" s="6">
        <f t="shared" si="1"/>
        <v>400781</v>
      </c>
      <c r="T13" s="6">
        <f t="shared" si="2"/>
        <v>1000025</v>
      </c>
    </row>
    <row r="14" spans="1:21" s="7" customFormat="1" x14ac:dyDescent="0.25">
      <c r="A14" s="6">
        <v>15</v>
      </c>
      <c r="B14" s="6" t="s">
        <v>29</v>
      </c>
      <c r="C14" s="6">
        <v>490000</v>
      </c>
      <c r="D14" s="6">
        <v>366678</v>
      </c>
      <c r="E14" s="6">
        <v>13607</v>
      </c>
      <c r="F14" s="6">
        <v>15</v>
      </c>
      <c r="G14" s="6">
        <v>48</v>
      </c>
      <c r="H14" s="6" t="s">
        <v>21</v>
      </c>
      <c r="I14" s="6">
        <v>8</v>
      </c>
      <c r="J14" s="6" t="s">
        <v>18</v>
      </c>
      <c r="K14" s="6"/>
      <c r="L14" s="6" t="s">
        <v>47</v>
      </c>
      <c r="M14" s="6"/>
      <c r="N14" s="2">
        <f>Table1[[#This Row],[EMI]]+N13</f>
        <v>83426</v>
      </c>
      <c r="O14" s="6" t="s">
        <v>19</v>
      </c>
      <c r="P14" s="6" t="s">
        <v>19</v>
      </c>
      <c r="Q14" s="6"/>
      <c r="R14" s="6">
        <f t="shared" si="0"/>
        <v>37.108852999089123</v>
      </c>
      <c r="S14" s="6">
        <f t="shared" si="1"/>
        <v>484207</v>
      </c>
      <c r="T14" s="6">
        <f t="shared" si="2"/>
        <v>1366703</v>
      </c>
    </row>
    <row r="15" spans="1:21" x14ac:dyDescent="0.25">
      <c r="A15" s="5">
        <v>5</v>
      </c>
      <c r="B15" s="5" t="s">
        <v>20</v>
      </c>
      <c r="C15" s="5">
        <v>51500</v>
      </c>
      <c r="D15" s="5">
        <v>46888</v>
      </c>
      <c r="E15" s="5">
        <v>1512</v>
      </c>
      <c r="F15" s="5">
        <v>17</v>
      </c>
      <c r="G15" s="5">
        <v>24</v>
      </c>
      <c r="H15" s="5" t="s">
        <v>21</v>
      </c>
      <c r="I15" s="5">
        <v>9</v>
      </c>
      <c r="J15" s="5" t="s">
        <v>18</v>
      </c>
      <c r="K15" s="5"/>
      <c r="L15" s="5" t="s">
        <v>48</v>
      </c>
      <c r="M15" s="5"/>
      <c r="N15" s="2">
        <f>Table1[[#This Row],[EMI]]+N14</f>
        <v>84938</v>
      </c>
      <c r="O15" s="5" t="s">
        <v>19</v>
      </c>
      <c r="P15" s="5" t="s">
        <v>19</v>
      </c>
      <c r="Q15" s="5"/>
      <c r="R15" s="5">
        <f t="shared" si="0"/>
        <v>32.247056816242967</v>
      </c>
      <c r="S15" s="5">
        <f t="shared" si="1"/>
        <v>569145</v>
      </c>
      <c r="T15" s="5">
        <f t="shared" si="2"/>
        <v>1413591</v>
      </c>
    </row>
    <row r="16" spans="1:21" s="7" customFormat="1" x14ac:dyDescent="0.25">
      <c r="A16" s="6">
        <v>14</v>
      </c>
      <c r="B16" s="6" t="s">
        <v>28</v>
      </c>
      <c r="C16" s="6">
        <v>300000</v>
      </c>
      <c r="D16" s="6">
        <v>260366</v>
      </c>
      <c r="E16" s="6">
        <v>8579</v>
      </c>
      <c r="F16" s="6">
        <v>16</v>
      </c>
      <c r="G16" s="6">
        <v>48</v>
      </c>
      <c r="H16" s="6" t="s">
        <v>21</v>
      </c>
      <c r="I16" s="6">
        <v>10</v>
      </c>
      <c r="J16" s="6" t="s">
        <v>18</v>
      </c>
      <c r="K16" s="6"/>
      <c r="L16" s="6" t="s">
        <v>49</v>
      </c>
      <c r="M16" s="6"/>
      <c r="N16" s="2">
        <f>Table1[[#This Row],[EMI]]+N15</f>
        <v>93517</v>
      </c>
      <c r="O16" s="6" t="s">
        <v>19</v>
      </c>
      <c r="P16" s="6" t="s">
        <v>19</v>
      </c>
      <c r="Q16" s="6"/>
      <c r="R16" s="6">
        <f t="shared" si="0"/>
        <v>32.949770707388829</v>
      </c>
      <c r="S16" s="6">
        <f t="shared" si="1"/>
        <v>662662</v>
      </c>
      <c r="T16" s="6">
        <f t="shared" si="2"/>
        <v>1673957</v>
      </c>
    </row>
    <row r="17" spans="1:20" s="7" customFormat="1" x14ac:dyDescent="0.25">
      <c r="A17" s="6">
        <v>16</v>
      </c>
      <c r="B17" s="6" t="s">
        <v>30</v>
      </c>
      <c r="C17" s="6">
        <v>2500000</v>
      </c>
      <c r="D17" s="6">
        <v>1973416</v>
      </c>
      <c r="E17" s="6">
        <v>48207</v>
      </c>
      <c r="F17" s="6">
        <v>11.15</v>
      </c>
      <c r="G17" s="6">
        <v>72</v>
      </c>
      <c r="H17" s="6" t="s">
        <v>21</v>
      </c>
      <c r="I17" s="6">
        <v>11</v>
      </c>
      <c r="J17" s="6" t="s">
        <v>18</v>
      </c>
      <c r="K17" s="6"/>
      <c r="L17" s="8" t="s">
        <v>50</v>
      </c>
      <c r="M17" s="6"/>
      <c r="N17" s="2">
        <f>Table1[[#This Row],[EMI]]+N16</f>
        <v>141724</v>
      </c>
      <c r="O17" s="6" t="s">
        <v>19</v>
      </c>
      <c r="P17" s="6" t="s">
        <v>19</v>
      </c>
      <c r="Q17" s="6"/>
      <c r="R17" s="6">
        <f t="shared" si="0"/>
        <v>24.428199629474982</v>
      </c>
      <c r="S17" s="6">
        <f t="shared" si="1"/>
        <v>804386</v>
      </c>
      <c r="T17" s="6">
        <f t="shared" si="2"/>
        <v>3647373</v>
      </c>
    </row>
    <row r="18" spans="1:20" x14ac:dyDescent="0.25">
      <c r="C18" t="s">
        <v>36</v>
      </c>
      <c r="D18">
        <f>SUM(D2:D17)</f>
        <v>3647373</v>
      </c>
      <c r="E18" s="1">
        <f>SUM(E2:E17)</f>
        <v>141724</v>
      </c>
    </row>
    <row r="19" spans="1:20" x14ac:dyDescent="0.25">
      <c r="C19" s="9" t="s">
        <v>35</v>
      </c>
      <c r="D19" s="9">
        <f>SUM(D2:D4)</f>
        <v>97809</v>
      </c>
      <c r="E19" s="9">
        <f>SUM(E2:E4)</f>
        <v>14182</v>
      </c>
    </row>
    <row r="20" spans="1:20" x14ac:dyDescent="0.25">
      <c r="C20" t="s">
        <v>37</v>
      </c>
      <c r="D20">
        <f>D18-D19</f>
        <v>3549564</v>
      </c>
      <c r="E20" s="1">
        <f>SUM(E8:E17)</f>
        <v>119327</v>
      </c>
    </row>
    <row r="21" spans="1:20" x14ac:dyDescent="0.25">
      <c r="C21" t="s">
        <v>38</v>
      </c>
      <c r="D21">
        <f>SUM(D5:D7)</f>
        <v>78537</v>
      </c>
      <c r="E21" s="1">
        <f>SUM(E5:E7)</f>
        <v>8215</v>
      </c>
    </row>
    <row r="22" spans="1:20" x14ac:dyDescent="0.25">
      <c r="C22" t="s">
        <v>51</v>
      </c>
      <c r="D22" s="1">
        <f>SUM(D11:D17)</f>
        <v>3115638</v>
      </c>
      <c r="E22">
        <f>SUM(E11:E17)</f>
        <v>92712</v>
      </c>
    </row>
    <row r="24" spans="1:20" x14ac:dyDescent="0.25">
      <c r="D24">
        <f>SUM(D8:D10)</f>
        <v>355389</v>
      </c>
    </row>
  </sheetData>
  <sortState ref="A2:R25">
    <sortCondition descending="1" ref="R2:R25"/>
  </sortState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gaurav yadav</cp:lastModifiedBy>
  <dcterms:created xsi:type="dcterms:W3CDTF">2025-12-24T05:33:38Z</dcterms:created>
  <dcterms:modified xsi:type="dcterms:W3CDTF">2026-01-19T05:38:15Z</dcterms:modified>
</cp:coreProperties>
</file>